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2750e03ee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资产准备清单" sheetId="1" r:id="R50a6978d9a9f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8"/>
      <x:color rgb="FFFFFFFF"/>
      <x:name val="Aptos Display"/>
    </x:font>
    <x:font>
      <x:sz val="10"/>
      <x:color rgb="FF294861"/>
      <x:name val="Aptos"/>
    </x:font>
    <x:font>
      <x:b/>
      <x:sz val="11"/>
      <x:color rgb="FF17324D"/>
      <x:name val="Carlito"/>
    </x:font>
    <x:font>
      <x:b/>
      <x:sz val="12"/>
      <x:color rgb="FF0F766E"/>
      <x:name val="Carlito"/>
    </x:font>
    <x:font>
      <x:i/>
      <x:sz val="11"/>
      <x:color rgb="FF7C5A00"/>
      <x:name val="Carlito"/>
    </x:font>
    <x:font>
      <x:b/>
      <x:sz val="11"/>
      <x:color rgb="FFFFFFFF"/>
      <x:name val="Carlito"/>
    </x:font>
    <x:font>
      <x:sz val="9"/>
      <x:name val="Aptos"/>
    </x:font>
    <x:font>
      <x:sz val="9"/>
      <x:color rgb="FF7C4A0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  <x:fill>
      <x:patternFill patternType="solid">
        <x:fgColor rgb="FF2F5D7C"/>
      </x:patternFill>
    </x:fill>
    <x:fill>
      <x:patternFill patternType="solid">
        <x:fgColor rgb="FFFFF8D8"/>
      </x:patternFill>
    </x:fill>
  </x:fills>
  <x:borders count="4">
    <x:border/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6b724d8014d73" /><Relationship Type="http://schemas.openxmlformats.org/officeDocument/2006/relationships/theme" Target="/xl/theme/theme1.xml" Id="Ra79567cd0aee41e8" /><Relationship Type="http://schemas.openxmlformats.org/officeDocument/2006/relationships/sharedStrings" Target="/xl/sharedStrings.xml" Id="R75cccc5e02814aee" /><Relationship Type="http://schemas.openxmlformats.org/officeDocument/2006/relationships/worksheet" Target="/xl/worksheets/sheet1.xml" Id="R50a6978d9a9f4477" /></Relationships>
</file>

<file path=xl/tables/table1.xml><?xml version="1.0" encoding="utf-8"?>
<x:table xmlns:x="http://schemas.openxmlformats.org/spreadsheetml/2006/main" id="1" name="AssetPreparationChecklist" displayName="AssetPreparationChecklist" ref="A7:J49" headerRowCount="1" totalsRowCount="0" totalsRowShown="0">
  <x:autoFilter ref="A7:J49"/>
  <x:tableColumns count="10">
    <x:tableColumn id="1" name="编号"/>
    <x:tableColumn id="2" name="分类"/>
    <x:tableColumn id="3" name="需要提供/确认的内容"/>
    <x:tableColumn id="4" name="必要性"/>
    <x:tableColumn id="5" name="请填写（值/文件名/环境变量名）"/>
    <x:tableColumn id="6" name="完成状态"/>
    <x:tableColumn id="7" name="保存位置"/>
    <x:tableColumn id="8" name="格式或示例"/>
    <x:tableColumn id="9" name="系统验证方式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c9e43aab1f47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6" hidden="0" customWidth="1"/>
    <x:col min="4" max="4" width="13" hidden="0" customWidth="1"/>
    <x:col min="5" max="5" width="30" hidden="0" customWidth="1"/>
    <x:col min="6" max="6" width="12" hidden="0" customWidth="1"/>
    <x:col min="7" max="7" width="25" hidden="0" customWidth="1"/>
    <x:col min="8" max="8" width="31" hidden="0" customWidth="1"/>
    <x:col min="9" max="9" width="30" hidden="0" customWidth="1"/>
    <x:col min="10" max="10" width="28" hidden="0" customWidth="1"/>
  </x:cols>
  <x:sheetData>
    <x:row r="1" ht="34" customHeight="1">
      <x:c r="A1" s="4" t="str">
        <x:v>Nexent 每日全量测试 · 资产准备清单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8" t="str">
        <x:v>请填写黄色列 E，并在 F 列选择完成状态。密钥和密码不得写入本表，只填写环境变量名或“已配置”。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8" customHeight="1">
      <x:c r="A4" s="18" t="str">
        <x:v>清单总项</x:v>
      </x:c>
      <x:c r="B4" s="19" t="n">
        <x:f>COUNTA(A8:A49)</x:f>
        <x:v>42</x:v>
      </x:c>
      <x:c r="C4" s="20" t="str">
        <x:v>需准备项</x:v>
      </x:c>
      <x:c r="D4" s="19" t="n">
        <x:f>COUNTIF(D8:D49,"&lt;&gt;当前排除")</x:f>
        <x:v>40</x:v>
      </x:c>
      <x:c r="E4" s="20" t="str">
        <x:v>已提供</x:v>
      </x:c>
      <x:c r="F4" s="19" t="n">
        <x:f>COUNTIF(F8:F49,"已提供")</x:f>
        <x:v>0</x:v>
      </x:c>
      <x:c r="G4" s="20" t="str">
        <x:v>待处理</x:v>
      </x:c>
      <x:c r="H4" s="19" t="n">
        <x:f>COUNTIFS(D8:D49,"&lt;&gt;当前排除",F8:F49,"&lt;&gt;已提供",F8:F49,"&lt;&gt;不适用")</x:f>
        <x:v>40</x:v>
      </x:c>
      <x:c r="I4" s="20" t="str">
        <x:v>完成率</x:v>
      </x:c>
      <x:c r="J4" s="21" t="n">
        <x:f>IFERROR(F4/D4,0)</x:f>
        <x:v>0</x:v>
      </x:c>
    </x:row>
    <x:row r="6" ht="28" customHeight="1">
      <x:c r="A6" s="25" t="str">
        <x:v>填写提示：先完成“必须”和“首次必须”；“按启用能力”根据当前产品配置判断；当前排除项无需提供。</x:v>
      </x:c>
      <x:c r="B6" s="25"/>
      <x:c r="C6" s="25"/>
      <x:c r="D6" s="25"/>
      <x:c r="E6" s="25"/>
      <x:c r="F6" s="25"/>
      <x:c r="G6" s="25"/>
      <x:c r="H6" s="25"/>
      <x:c r="I6" s="25"/>
      <x:c r="J6" s="25"/>
    </x:row>
    <x:row r="7" ht="34" customHeight="1">
      <x:c r="A7" s="30" t="str">
        <x:v>编号</x:v>
      </x:c>
      <x:c r="B7" s="30" t="str">
        <x:v>分类</x:v>
      </x:c>
      <x:c r="C7" s="30" t="str">
        <x:v>需要提供/确认的内容</x:v>
      </x:c>
      <x:c r="D7" s="30" t="str">
        <x:v>必要性</x:v>
      </x:c>
      <x:c r="E7" s="30" t="str">
        <x:v>请填写（值/文件名/环境变量名）</x:v>
      </x:c>
      <x:c r="F7" s="30" t="str">
        <x:v>完成状态</x:v>
      </x:c>
      <x:c r="G7" s="30" t="str">
        <x:v>保存位置</x:v>
      </x:c>
      <x:c r="H7" s="30" t="str">
        <x:v>格式或示例</x:v>
      </x:c>
      <x:c r="I7" s="30" t="str">
        <x:v>系统验证方式</x:v>
      </x:c>
      <x:c r="J7" s="30" t="str">
        <x:v>备注</x:v>
      </x:c>
    </x:row>
    <x:row r="8" ht="42" customHeight="1">
      <x:c r="A8" s="34" t="str">
        <x:v>ENV-001</x:v>
      </x:c>
      <x:c r="B8" s="33" t="str">
        <x:v>环境与路径</x:v>
      </x:c>
      <x:c r="C8" s="33" t="str">
        <x:v>测试资产根目录</x:v>
      </x:c>
      <x:c r="D8" s="34" t="str">
        <x:v>必须</x:v>
      </x:c>
      <x:c r="E8" s="36" t="str"/>
      <x:c r="F8" s="34" t="str">
        <x:v>未提供</x:v>
      </x:c>
      <x:c r="G8" s="33" t="str">
        <x:v>config/daily.env</x:v>
      </x:c>
      <x:c r="H8" s="33" t="str">
        <x:v>/home/jason/nexent-test-suite</x:v>
      </x:c>
      <x:c r="I8" s="33" t="str">
        <x:v>目录存在且 runner 可写</x:v>
      </x:c>
      <x:c r="J8" s="33" t="str">
        <x:v>确认最终目录，不要填写 Windows 路径</x:v>
      </x:c>
    </x:row>
    <x:row r="9" ht="42" customHeight="1">
      <x:c r="A9" s="34" t="str">
        <x:v>ENV-002</x:v>
      </x:c>
      <x:c r="B9" s="33" t="str">
        <x:v>环境与路径</x:v>
      </x:c>
      <x:c r="C9" s="33" t="str">
        <x:v>Nexent 代码仓库路径</x:v>
      </x:c>
      <x:c r="D9" s="34" t="str">
        <x:v>必须</x:v>
      </x:c>
      <x:c r="E9" s="36" t="str"/>
      <x:c r="F9" s="34" t="str">
        <x:v>未提供</x:v>
      </x:c>
      <x:c r="G9" s="33" t="str">
        <x:v>config/daily.env</x:v>
      </x:c>
      <x:c r="H9" s="33" t="str">
        <x:v>/home/jason/nexent</x:v>
      </x:c>
      <x:c r="I9" s="33" t="str">
        <x:v>git rev-parse 与目标提交可读</x:v>
      </x:c>
      <x:c r="J9" s="33" t="str">
        <x:v>仓库应由 GitHub Actions checkout 或本地维护</x:v>
      </x:c>
    </x:row>
    <x:row r="10" ht="42" customHeight="1">
      <x:c r="A10" s="34" t="str">
        <x:v>ENV-003</x:v>
      </x:c>
      <x:c r="B10" s="33" t="str">
        <x:v>环境与路径</x:v>
      </x:c>
      <x:c r="C10" s="33" t="str">
        <x:v>被测站点访问地址</x:v>
      </x:c>
      <x:c r="D10" s="34" t="str">
        <x:v>必须</x:v>
      </x:c>
      <x:c r="E10" s="36" t="str"/>
      <x:c r="F10" s="34" t="str">
        <x:v>未提供</x:v>
      </x:c>
      <x:c r="G10" s="33" t="str">
        <x:v>config/environment.yaml</x:v>
      </x:c>
      <x:c r="H10" s="33" t="str">
        <x:v>http://localhost:3000</x:v>
      </x:c>
      <x:c r="I10" s="33" t="str">
        <x:v>HTTP 探活成功</x:v>
      </x:c>
      <x:c r="J10" s="33" t="str">
        <x:v>填写 Ubuntu 测试机实际可访问地址</x:v>
      </x:c>
    </x:row>
    <x:row r="11" ht="42" customHeight="1">
      <x:c r="A11" s="34" t="str">
        <x:v>ENV-004</x:v>
      </x:c>
      <x:c r="B11" s="33" t="str">
        <x:v>环境与路径</x:v>
      </x:c>
      <x:c r="C11" s="33" t="str">
        <x:v>前端健康检查路径</x:v>
      </x:c>
      <x:c r="D11" s="34" t="str">
        <x:v>必须</x:v>
      </x:c>
      <x:c r="E11" s="36" t="str"/>
      <x:c r="F11" s="34" t="str">
        <x:v>未提供</x:v>
      </x:c>
      <x:c r="G11" s="33" t="str">
        <x:v>config/environment.yaml</x:v>
      </x:c>
      <x:c r="H11" s="33" t="str">
        <x:v>/zh</x:v>
      </x:c>
      <x:c r="I11" s="33" t="str">
        <x:v>组合 base_url 后返回成功状态</x:v>
      </x:c>
      <x:c r="J11" s="33" t="str">
        <x:v>默认中文环境</x:v>
      </x:c>
    </x:row>
    <x:row r="12" ht="42" customHeight="1">
      <x:c r="A12" s="34" t="str">
        <x:v>ENV-005</x:v>
      </x:c>
      <x:c r="B12" s="33" t="str">
        <x:v>Git 与部署</x:v>
      </x:c>
      <x:c r="C12" s="33" t="str">
        <x:v>首次基线 Git SHA</x:v>
      </x:c>
      <x:c r="D12" s="34" t="str">
        <x:v>首次必须</x:v>
      </x:c>
      <x:c r="E12" s="36" t="str"/>
      <x:c r="F12" s="34" t="str">
        <x:v>未提供</x:v>
      </x:c>
      <x:c r="G12" s="33" t="str">
        <x:v>config/daily.env</x:v>
      </x:c>
      <x:c r="H12" s="33" t="str">
        <x:v>40 位 commit SHA</x:v>
      </x:c>
      <x:c r="I12" s="33" t="str">
        <x:v>SHA 存在且是 HEAD 祖先</x:v>
      </x:c>
      <x:c r="J12" s="33" t="str">
        <x:v>后续成功批次由系统自动维护</x:v>
      </x:c>
    </x:row>
    <x:row r="13" ht="42" customHeight="1">
      <x:c r="A13" s="34" t="str">
        <x:v>ENV-006</x:v>
      </x:c>
      <x:c r="B13" s="33" t="str">
        <x:v>Git 与部署</x:v>
      </x:c>
      <x:c r="C13" s="33" t="str">
        <x:v>Nexent 部署命令</x:v>
      </x:c>
      <x:c r="D13" s="34" t="str">
        <x:v>必须</x:v>
      </x:c>
      <x:c r="E13" s="36" t="str"/>
      <x:c r="F13" s="34" t="str">
        <x:v>未提供</x:v>
      </x:c>
      <x:c r="G13" s="33" t="str">
        <x:v>config/daily.env</x:v>
      </x:c>
      <x:c r="H13" s="33" t="str">
        <x:v>调用 nexent-deploy 的本机命令</x:v>
      </x:c>
      <x:c r="I13" s="33" t="str">
        <x:v>构建、容器和 HTTP 验收通过</x:v>
      </x:c>
      <x:c r="J13" s="33" t="str">
        <x:v>填写命令名称或脚本路径，不填密钥</x:v>
      </x:c>
    </x:row>
    <x:row r="14" ht="42" customHeight="1">
      <x:c r="A14" s="34" t="str">
        <x:v>ENV-007</x:v>
      </x:c>
      <x:c r="B14" s="33" t="str">
        <x:v>OpenCode</x:v>
      </x:c>
      <x:c r="C14" s="33" t="str">
        <x:v>OpenCode 执行模型</x:v>
      </x:c>
      <x:c r="D14" s="34" t="str">
        <x:v>必须</x:v>
      </x:c>
      <x:c r="E14" s="36" t="str"/>
      <x:c r="F14" s="34" t="str">
        <x:v>未提供</x:v>
      </x:c>
      <x:c r="G14" s="33" t="str">
        <x:v>config/daily.env</x:v>
      </x:c>
      <x:c r="H14" s="33" t="str">
        <x:v>provider/model</x:v>
      </x:c>
      <x:c r="I14" s="33" t="str">
        <x:v>opencode run 可完成工具调用</x:v>
      </x:c>
      <x:c r="J14" s="33" t="str">
        <x:v>如默认配置已指定，可填写“使用默认模型”</x:v>
      </x:c>
    </x:row>
    <x:row r="15" ht="42" customHeight="1">
      <x:c r="A15" s="34" t="str">
        <x:v>CMD-001</x:v>
      </x:c>
      <x:c r="B15" s="33" t="str">
        <x:v>确定性命令</x:v>
      </x:c>
      <x:c r="C15" s="33" t="str">
        <x:v>D1 单元与组件测试命令</x:v>
      </x:c>
      <x:c r="D15" s="34" t="str">
        <x:v>建议</x:v>
      </x:c>
      <x:c r="E15" s="36" t="str"/>
      <x:c r="F15" s="34" t="str">
        <x:v>待确认</x:v>
      </x:c>
      <x:c r="G15" s="33" t="str">
        <x:v>config/daily.env</x:v>
      </x:c>
      <x:c r="H15" s="33" t="str">
        <x:v>pytest / pnpm test 等</x:v>
      </x:c>
      <x:c r="I15" s="33" t="str">
        <x:v>命令退出码与 JUnit/日志可读取</x:v>
      </x:c>
      <x:c r="J15" s="33" t="str">
        <x:v>为空时由 OpenCode 检查仓库入口</x:v>
      </x:c>
    </x:row>
    <x:row r="16" ht="42" customHeight="1">
      <x:c r="A16" s="34" t="str">
        <x:v>CMD-002</x:v>
      </x:c>
      <x:c r="B16" s="33" t="str">
        <x:v>确定性命令</x:v>
      </x:c>
      <x:c r="C16" s="33" t="str">
        <x:v>D2 API 与协议测试命令</x:v>
      </x:c>
      <x:c r="D16" s="34" t="str">
        <x:v>建议</x:v>
      </x:c>
      <x:c r="E16" s="36" t="str"/>
      <x:c r="F16" s="34" t="str">
        <x:v>待确认</x:v>
      </x:c>
      <x:c r="G16" s="33" t="str">
        <x:v>config/daily.env</x:v>
      </x:c>
      <x:c r="H16" s="33" t="str">
        <x:v>pytest integration / contract</x:v>
      </x:c>
      <x:c r="I16" s="33" t="str">
        <x:v>输出能映射用例 ID</x:v>
      </x:c>
      <x:c r="J16" s="33" t="str">
        <x:v>不使用 Playwright 替代 API/协议断言</x:v>
      </x:c>
    </x:row>
    <x:row r="17" ht="42" customHeight="1">
      <x:c r="A17" s="34" t="str">
        <x:v>CMD-003</x:v>
      </x:c>
      <x:c r="B17" s="33" t="str">
        <x:v>确定性命令</x:v>
      </x:c>
      <x:c r="C17" s="33" t="str">
        <x:v>D3 AI Runtime 测试命令</x:v>
      </x:c>
      <x:c r="D17" s="34" t="str">
        <x:v>可选</x:v>
      </x:c>
      <x:c r="E17" s="36" t="str"/>
      <x:c r="F17" s="34" t="str">
        <x:v>待确认</x:v>
      </x:c>
      <x:c r="G17" s="33" t="str">
        <x:v>config/daily.env</x:v>
      </x:c>
      <x:c r="H17" s="33" t="str">
        <x:v>agent integration command</x:v>
      </x:c>
      <x:c r="I17" s="33" t="str">
        <x:v>使用真实产品模型</x:v>
      </x:c>
      <x:c r="J17" s="33" t="str">
        <x:v>为空时由 OpenCode 按执行计划完成</x:v>
      </x:c>
    </x:row>
    <x:row r="18" ht="42" customHeight="1">
      <x:c r="A18" s="34" t="str">
        <x:v>CMD-004</x:v>
      </x:c>
      <x:c r="B18" s="33" t="str">
        <x:v>确定性命令</x:v>
      </x:c>
      <x:c r="C18" s="33" t="str">
        <x:v>D4 已有 Playwright 命令</x:v>
      </x:c>
      <x:c r="D18" s="34" t="str">
        <x:v>可选</x:v>
      </x:c>
      <x:c r="E18" s="36" t="str"/>
      <x:c r="F18" s="34" t="str">
        <x:v>待确认</x:v>
      </x:c>
      <x:c r="G18" s="33" t="str">
        <x:v>config/daily.env</x:v>
      </x:c>
      <x:c r="H18" s="33" t="str">
        <x:v>npx playwright test</x:v>
      </x:c>
      <x:c r="I18" s="33" t="str">
        <x:v>只运行未排除 Journey</x:v>
      </x:c>
      <x:c r="J18" s="33" t="str">
        <x:v>没有现成 spec 可先留空</x:v>
      </x:c>
    </x:row>
    <x:row r="19" ht="42" customHeight="1">
      <x:c r="A19" s="34" t="str">
        <x:v>CMD-005</x:v>
      </x:c>
      <x:c r="B19" s="33" t="str">
        <x:v>确定性命令</x:v>
      </x:c>
      <x:c r="C19" s="33" t="str">
        <x:v>D5 安全可靠性专项命令</x:v>
      </x:c>
      <x:c r="D19" s="34" t="str">
        <x:v>可选</x:v>
      </x:c>
      <x:c r="E19" s="36" t="str"/>
      <x:c r="F19" s="34" t="str">
        <x:v>待确认</x:v>
      </x:c>
      <x:c r="G19" s="33" t="str">
        <x:v>config/daily.env</x:v>
      </x:c>
      <x:c r="H19" s="33" t="str">
        <x:v>security/rel smoke command</x:v>
      </x:c>
      <x:c r="I19" s="33" t="str">
        <x:v>结果写入本地 run 目录</x:v>
      </x:c>
      <x:c r="J19" s="33" t="str">
        <x:v>故障注入只指向受控端点</x:v>
      </x:c>
    </x:row>
    <x:row r="20" ht="42" customHeight="1">
      <x:c r="A20" s="34" t="str">
        <x:v>MOD-001</x:v>
      </x:c>
      <x:c r="B20" s="33" t="str">
        <x:v>产品模型</x:v>
      </x:c>
      <x:c r="C20" s="33" t="str">
        <x:v>LLM Provider、Base URL、模型名</x:v>
      </x:c>
      <x:c r="D20" s="34" t="str">
        <x:v>必须</x:v>
      </x:c>
      <x:c r="E20" s="36" t="str"/>
      <x:c r="F20" s="34" t="str">
        <x:v>未提供</x:v>
      </x:c>
      <x:c r="G20" s="33" t="str">
        <x:v>config/models.yaml</x:v>
      </x:c>
      <x:c r="H20" s="33" t="str">
        <x:v>provider + base_url + model</x:v>
      </x:c>
      <x:c r="I20" s="33" t="str">
        <x:v>模型添加与连通性通过</x:v>
      </x:c>
      <x:c r="J20" s="33" t="str">
        <x:v>填写配置标识，不填 API Key</x:v>
      </x:c>
    </x:row>
    <x:row r="21" ht="42" customHeight="1">
      <x:c r="A21" s="34" t="str">
        <x:v>MOD-002</x:v>
      </x:c>
      <x:c r="B21" s="33" t="str">
        <x:v>产品模型</x:v>
      </x:c>
      <x:c r="C21" s="33" t="str">
        <x:v>LLM API Key 已配置</x:v>
      </x:c>
      <x:c r="D21" s="34" t="str">
        <x:v>必须</x:v>
      </x:c>
      <x:c r="E21" s="36" t="str"/>
      <x:c r="F21" s="34" t="str">
        <x:v>未提供</x:v>
      </x:c>
      <x:c r="G21" s="33" t="str">
        <x:v>config/secrets.env</x:v>
      </x:c>
      <x:c r="H21" s="33" t="str">
        <x:v>NEXENT_DAILY_LLM_API_KEY</x:v>
      </x:c>
      <x:c r="I21" s="33" t="str">
        <x:v>只检查环境变量存在并完成真实调用</x:v>
      </x:c>
      <x:c r="J21" s="33" t="str">
        <x:v>请填写环境变量名或“已配置”，禁止填写明文值</x:v>
      </x:c>
    </x:row>
    <x:row r="22" ht="42" customHeight="1">
      <x:c r="A22" s="34" t="str">
        <x:v>MOD-003</x:v>
      </x:c>
      <x:c r="B22" s="33" t="str">
        <x:v>产品模型</x:v>
      </x:c>
      <x:c r="C22" s="33" t="str">
        <x:v>Embedding Provider、模型名、维度</x:v>
      </x:c>
      <x:c r="D22" s="34" t="str">
        <x:v>必须</x:v>
      </x:c>
      <x:c r="E22" s="36" t="str"/>
      <x:c r="F22" s="34" t="str">
        <x:v>未提供</x:v>
      </x:c>
      <x:c r="G22" s="33" t="str">
        <x:v>config/models.yaml</x:v>
      </x:c>
      <x:c r="H22" s="33" t="str">
        <x:v>provider + model + dimension</x:v>
      </x:c>
      <x:c r="I22" s="33" t="str">
        <x:v>向量维度与实际响应一致</x:v>
      </x:c>
      <x:c r="J22" s="33" t="str">
        <x:v>知识库索引必需</x:v>
      </x:c>
    </x:row>
    <x:row r="23" ht="42" customHeight="1">
      <x:c r="A23" s="34" t="str">
        <x:v>MOD-004</x:v>
      </x:c>
      <x:c r="B23" s="33" t="str">
        <x:v>产品模型</x:v>
      </x:c>
      <x:c r="C23" s="33" t="str">
        <x:v>Embedding API Key 已配置</x:v>
      </x:c>
      <x:c r="D23" s="34" t="str">
        <x:v>必须</x:v>
      </x:c>
      <x:c r="E23" s="36" t="str"/>
      <x:c r="F23" s="34" t="str">
        <x:v>未提供</x:v>
      </x:c>
      <x:c r="G23" s="33" t="str">
        <x:v>config/secrets.env</x:v>
      </x:c>
      <x:c r="H23" s="33" t="str">
        <x:v>NEXENT_DAILY_EMBEDDING_API_KEY</x:v>
      </x:c>
      <x:c r="I23" s="33" t="str">
        <x:v>真实 Embedding 调用成功</x:v>
      </x:c>
      <x:c r="J23" s="33" t="str">
        <x:v>请填写环境变量名或“已配置”，禁止填写明文值</x:v>
      </x:c>
    </x:row>
    <x:row r="24" ht="42" customHeight="1">
      <x:c r="A24" s="34" t="str">
        <x:v>MOD-005</x:v>
      </x:c>
      <x:c r="B24" s="33" t="str">
        <x:v>产品模型</x:v>
      </x:c>
      <x:c r="C24" s="33" t="str">
        <x:v>Rerank Provider、模型名及 Key 状态</x:v>
      </x:c>
      <x:c r="D24" s="34" t="str">
        <x:v>按启用能力</x:v>
      </x:c>
      <x:c r="E24" s="36" t="str"/>
      <x:c r="F24" s="34" t="str">
        <x:v>未提供</x:v>
      </x:c>
      <x:c r="G24" s="33" t="str">
        <x:v>config/models.yaml + secrets.env</x:v>
      </x:c>
      <x:c r="H24" s="33" t="str">
        <x:v>rerank 配置；Key 仅写环境变量名</x:v>
      </x:c>
      <x:c r="I24" s="33" t="str">
        <x:v>真实 Rerank 调用与排序断言通过</x:v>
      </x:c>
      <x:c r="J24" s="33" t="str">
        <x:v>若产品环境启用 Rerank 则必须</x:v>
      </x:c>
    </x:row>
    <x:row r="25" ht="42" customHeight="1">
      <x:c r="A25" s="34" t="str">
        <x:v>MOD-006</x:v>
      </x:c>
      <x:c r="B25" s="33" t="str">
        <x:v>产品模型</x:v>
      </x:c>
      <x:c r="C25" s="33" t="str">
        <x:v>VLM Provider、模型名及 Key 状态</x:v>
      </x:c>
      <x:c r="D25" s="34" t="str">
        <x:v>按启用能力</x:v>
      </x:c>
      <x:c r="E25" s="36" t="str"/>
      <x:c r="F25" s="34" t="str">
        <x:v>未提供</x:v>
      </x:c>
      <x:c r="G25" s="33" t="str">
        <x:v>config/models.yaml + secrets.env</x:v>
      </x:c>
      <x:c r="H25" s="33" t="str">
        <x:v>vlm 配置；Key 仅写环境变量名</x:v>
      </x:c>
      <x:c r="I25" s="33" t="str">
        <x:v>固定图片理解断言通过</x:v>
      </x:c>
      <x:c r="J25" s="33" t="str">
        <x:v>需要同时提供 IMG-001</x:v>
      </x:c>
    </x:row>
    <x:row r="26" ht="42" customHeight="1">
      <x:c r="A26" s="34" t="str">
        <x:v>MOD-007</x:v>
      </x:c>
      <x:c r="B26" s="33" t="str">
        <x:v>产品模型</x:v>
      </x:c>
      <x:c r="C26" s="33" t="str">
        <x:v>STT Provider、模型名及 Key 状态</x:v>
      </x:c>
      <x:c r="D26" s="34" t="str">
        <x:v>按启用能力</x:v>
      </x:c>
      <x:c r="E26" s="36" t="str"/>
      <x:c r="F26" s="34" t="str">
        <x:v>未提供</x:v>
      </x:c>
      <x:c r="G26" s="33" t="str">
        <x:v>config/models.yaml + secrets.env</x:v>
      </x:c>
      <x:c r="H26" s="33" t="str">
        <x:v>stt 配置；Key 仅写环境变量名</x:v>
      </x:c>
      <x:c r="I26" s="33" t="str">
        <x:v>固定音频转写命中 marker</x:v>
      </x:c>
      <x:c r="J26" s="33" t="str">
        <x:v>需要同时提供 AUD-001</x:v>
      </x:c>
    </x:row>
    <x:row r="27" ht="42" customHeight="1">
      <x:c r="A27" s="34" t="str">
        <x:v>MOD-008</x:v>
      </x:c>
      <x:c r="B27" s="33" t="str">
        <x:v>产品模型</x:v>
      </x:c>
      <x:c r="C27" s="33" t="str">
        <x:v>TTS Provider、模型名及 Key 状态</x:v>
      </x:c>
      <x:c r="D27" s="34" t="str">
        <x:v>按启用能力</x:v>
      </x:c>
      <x:c r="E27" s="36" t="str"/>
      <x:c r="F27" s="34" t="str">
        <x:v>未提供</x:v>
      </x:c>
      <x:c r="G27" s="33" t="str">
        <x:v>config/models.yaml + secrets.env</x:v>
      </x:c>
      <x:c r="H27" s="33" t="str">
        <x:v>tts 配置；Key 仅写环境变量名</x:v>
      </x:c>
      <x:c r="I27" s="33" t="str">
        <x:v>生成音频可解析且时长合理</x:v>
      </x:c>
      <x:c r="J27" s="33" t="str">
        <x:v>实际输出不做逐字节匹配</x:v>
      </x:c>
    </x:row>
    <x:row r="28" ht="42" customHeight="1">
      <x:c r="A28" s="34" t="str">
        <x:v>USR-001</x:v>
      </x:c>
      <x:c r="B28" s="33" t="str">
        <x:v>测试账号</x:v>
      </x:c>
      <x:c r="C28" s="33" t="str">
        <x:v>Tenant A 管理员账号</x:v>
      </x:c>
      <x:c r="D28" s="34" t="str">
        <x:v>必须</x:v>
      </x:c>
      <x:c r="E28" s="36" t="str"/>
      <x:c r="F28" s="34" t="str">
        <x:v>未提供</x:v>
      </x:c>
      <x:c r="G28" s="33" t="str">
        <x:v>config/users.yaml + secrets.env</x:v>
      </x:c>
      <x:c r="H28" s="33" t="str">
        <x:v>用户名 + 密码环境变量名</x:v>
      </x:c>
      <x:c r="I28" s="33" t="str">
        <x:v>登录、管理权限与租户归属正确</x:v>
      </x:c>
      <x:c r="J28" s="33" t="str">
        <x:v>禁止在清单中填写明文密码</x:v>
      </x:c>
    </x:row>
    <x:row r="29" ht="42" customHeight="1">
      <x:c r="A29" s="34" t="str">
        <x:v>USR-002</x:v>
      </x:c>
      <x:c r="B29" s="33" t="str">
        <x:v>测试账号</x:v>
      </x:c>
      <x:c r="C29" s="33" t="str">
        <x:v>Tenant A 普通用户账号</x:v>
      </x:c>
      <x:c r="D29" s="34" t="str">
        <x:v>必须</x:v>
      </x:c>
      <x:c r="E29" s="36" t="str"/>
      <x:c r="F29" s="34" t="str">
        <x:v>未提供</x:v>
      </x:c>
      <x:c r="G29" s="33" t="str">
        <x:v>config/users.yaml + secrets.env</x:v>
      </x:c>
      <x:c r="H29" s="33" t="str">
        <x:v>用户名 + 密码环境变量名</x:v>
      </x:c>
      <x:c r="I29" s="33" t="str">
        <x:v>普通用户权限正确</x:v>
      </x:c>
      <x:c r="J29" s="33" t="str">
        <x:v>用于资源创建和越权验证</x:v>
      </x:c>
    </x:row>
    <x:row r="30" ht="42" customHeight="1">
      <x:c r="A30" s="34" t="str">
        <x:v>USR-003</x:v>
      </x:c>
      <x:c r="B30" s="33" t="str">
        <x:v>测试账号</x:v>
      </x:c>
      <x:c r="C30" s="33" t="str">
        <x:v>Tenant B 隔离账号</x:v>
      </x:c>
      <x:c r="D30" s="34" t="str">
        <x:v>必须</x:v>
      </x:c>
      <x:c r="E30" s="36" t="str"/>
      <x:c r="F30" s="34" t="str">
        <x:v>未提供</x:v>
      </x:c>
      <x:c r="G30" s="33" t="str">
        <x:v>config/users.yaml + secrets.env</x:v>
      </x:c>
      <x:c r="H30" s="33" t="str">
        <x:v>另一租户用户名 + 密码环境变量名</x:v>
      </x:c>
      <x:c r="I30" s="33" t="str">
        <x:v>跨租户请求被拒绝且数据不可见</x:v>
      </x:c>
      <x:c r="J30" s="33" t="str">
        <x:v>至少提供一个不同租户用户</x:v>
      </x:c>
    </x:row>
    <x:row r="31" ht="42" customHeight="1">
      <x:c r="A31" s="34" t="str">
        <x:v>USR-004</x:v>
      </x:c>
      <x:c r="B31" s="33" t="str">
        <x:v>测试账号</x:v>
      </x:c>
      <x:c r="C31" s="33" t="str">
        <x:v>超级管理员账号</x:v>
      </x:c>
      <x:c r="D31" s="34" t="str">
        <x:v>按启用能力</x:v>
      </x:c>
      <x:c r="E31" s="36" t="str"/>
      <x:c r="F31" s="34" t="str">
        <x:v>未提供</x:v>
      </x:c>
      <x:c r="G31" s="33" t="str">
        <x:v>config/users.yaml + secrets.env</x:v>
      </x:c>
      <x:c r="H31" s="33" t="str">
        <x:v>SU 用户名 + 密码环境变量名</x:v>
      </x:c>
      <x:c r="I31" s="33" t="str">
        <x:v>系统级管理用例可执行</x:v>
      </x:c>
      <x:c r="J31" s="33" t="str">
        <x:v>若环境没有 SU 用例可标记不适用</x:v>
      </x:c>
    </x:row>
    <x:row r="32" ht="42" customHeight="1">
      <x:c r="A32" s="34" t="str">
        <x:v>DOC-001</x:v>
      </x:c>
      <x:c r="B32" s="33" t="str">
        <x:v>知识库文件</x:v>
      </x:c>
      <x:c r="C32" s="33" t="str">
        <x:v>固定 PDF 测试文档</x:v>
      </x:c>
      <x:c r="D32" s="34" t="str">
        <x:v>必须</x:v>
      </x:c>
      <x:c r="E32" s="36" t="str"/>
      <x:c r="F32" s="34" t="str">
        <x:v>未提供</x:v>
      </x:c>
      <x:c r="G32" s="33" t="str">
        <x:v>assets/documents/</x:v>
      </x:c>
      <x:c r="H32" s="33" t="str">
        <x:v>PDF，正文包含 FILE-92831</x:v>
      </x:c>
      <x:c r="I32" s="33" t="str">
        <x:v>SHA256 匹配且 KB 检索命中 marker</x:v>
      </x:c>
      <x:c r="J32" s="33" t="str">
        <x:v>使用无敏感信息的小文件</x:v>
      </x:c>
    </x:row>
    <x:row r="33" ht="42" customHeight="1">
      <x:c r="A33" s="34" t="str">
        <x:v>DOC-002</x:v>
      </x:c>
      <x:c r="B33" s="33" t="str">
        <x:v>知识库文件</x:v>
      </x:c>
      <x:c r="C33" s="33" t="str">
        <x:v>DOCX/TXT/Markdown 测试包</x:v>
      </x:c>
      <x:c r="D33" s="34" t="str">
        <x:v>按启用能力</x:v>
      </x:c>
      <x:c r="E33" s="36" t="str"/>
      <x:c r="F33" s="34" t="str">
        <x:v>未提供</x:v>
      </x:c>
      <x:c r="G33" s="33" t="str">
        <x:v>assets/documents/</x:v>
      </x:c>
      <x:c r="H33" s="33" t="str">
        <x:v>每种格式至少 1 个小文件</x:v>
      </x:c>
      <x:c r="I33" s="33" t="str">
        <x:v>解析、分段、检索结果符合 Oracle</x:v>
      </x:c>
      <x:c r="J33" s="33" t="str">
        <x:v>内容应包含不同固定 marker</x:v>
      </x:c>
    </x:row>
    <x:row r="34" ht="42" customHeight="1">
      <x:c r="A34" s="34" t="str">
        <x:v>TAB-001</x:v>
      </x:c>
      <x:c r="B34" s="33" t="str">
        <x:v>结构化文件</x:v>
      </x:c>
      <x:c r="C34" s="33" t="str">
        <x:v>CSV/XLSX 测试文件</x:v>
      </x:c>
      <x:c r="D34" s="34" t="str">
        <x:v>按启用能力</x:v>
      </x:c>
      <x:c r="E34" s="36" t="str"/>
      <x:c r="F34" s="34" t="str">
        <x:v>未提供</x:v>
      </x:c>
      <x:c r="G34" s="33" t="str">
        <x:v>assets/documents/</x:v>
      </x:c>
      <x:c r="H34" s="33" t="str">
        <x:v>含表头、中文、空值、数值列</x:v>
      </x:c>
      <x:c r="I34" s="33" t="str">
        <x:v>上传解析行列数与 Expected 一致</x:v>
      </x:c>
      <x:c r="J34" s="33" t="str">
        <x:v>不要使用生产数据</x:v>
      </x:c>
    </x:row>
    <x:row r="35" ht="42" customHeight="1">
      <x:c r="A35" s="34" t="str">
        <x:v>IMG-001</x:v>
      </x:c>
      <x:c r="B35" s="33" t="str">
        <x:v>媒体资产</x:v>
      </x:c>
      <x:c r="C35" s="33" t="str">
        <x:v>固定图片</x:v>
      </x:c>
      <x:c r="D35" s="34" t="str">
        <x:v>按启用能力</x:v>
      </x:c>
      <x:c r="E35" s="36" t="str"/>
      <x:c r="F35" s="34" t="str">
        <x:v>未提供</x:v>
      </x:c>
      <x:c r="G35" s="33" t="str">
        <x:v>assets/images/</x:v>
      </x:c>
      <x:c r="H35" s="33" t="str">
        <x:v>PNG/JPG，内容和 marker 可稳定描述</x:v>
      </x:c>
      <x:c r="I35" s="33" t="str">
        <x:v>VLM/上传/预览断言通过</x:v>
      </x:c>
      <x:c r="J35" s="33" t="str">
        <x:v>建议尺寸适中、无隐私内容</x:v>
      </x:c>
    </x:row>
    <x:row r="36" ht="42" customHeight="1">
      <x:c r="A36" s="34" t="str">
        <x:v>AUD-001</x:v>
      </x:c>
      <x:c r="B36" s="33" t="str">
        <x:v>媒体资产</x:v>
      </x:c>
      <x:c r="C36" s="33" t="str">
        <x:v>固定语音音频</x:v>
      </x:c>
      <x:c r="D36" s="34" t="str">
        <x:v>按启用能力</x:v>
      </x:c>
      <x:c r="E36" s="36" t="str"/>
      <x:c r="F36" s="34" t="str">
        <x:v>未提供</x:v>
      </x:c>
      <x:c r="G36" s="33" t="str">
        <x:v>assets/audio/</x:v>
      </x:c>
      <x:c r="H36" s="33" t="str">
        <x:v>WAV/MP3，包含固定短句</x:v>
      </x:c>
      <x:c r="I36" s="33" t="str">
        <x:v>STT 结果命中关键词</x:v>
      </x:c>
      <x:c r="J36" s="33" t="str">
        <x:v>建议 5–15 秒、背景噪声低</x:v>
      </x:c>
    </x:row>
    <x:row r="37" ht="42" customHeight="1">
      <x:c r="A37" s="34" t="str">
        <x:v>VID-001</x:v>
      </x:c>
      <x:c r="B37" s="33" t="str">
        <x:v>媒体资产</x:v>
      </x:c>
      <x:c r="C37" s="33" t="str">
        <x:v>固定视频</x:v>
      </x:c>
      <x:c r="D37" s="34" t="str">
        <x:v>按启用能力</x:v>
      </x:c>
      <x:c r="E37" s="36" t="str"/>
      <x:c r="F37" s="34" t="str">
        <x:v>未提供</x:v>
      </x:c>
      <x:c r="G37" s="33" t="str">
        <x:v>assets/video/</x:v>
      </x:c>
      <x:c r="H37" s="33" t="str">
        <x:v>短 MP4</x:v>
      </x:c>
      <x:c r="I37" s="33" t="str">
        <x:v>上传、解析或播放场景通过</x:v>
      </x:c>
      <x:c r="J37" s="33" t="str">
        <x:v>只有相关用例启用时提供</x:v>
      </x:c>
    </x:row>
    <x:row r="38" ht="42" customHeight="1">
      <x:c r="A38" s="34" t="str">
        <x:v>ORA-001</x:v>
      </x:c>
      <x:c r="B38" s="33" t="str">
        <x:v>Expected Oracle</x:v>
      </x:c>
      <x:c r="C38" s="33" t="str">
        <x:v>知识库问答期望结果</x:v>
      </x:c>
      <x:c r="D38" s="34" t="str">
        <x:v>必须</x:v>
      </x:c>
      <x:c r="E38" s="36" t="str"/>
      <x:c r="F38" s="34" t="str">
        <x:v>未提供</x:v>
      </x:c>
      <x:c r="G38" s="33" t="str">
        <x:v>assets/expected/</x:v>
      </x:c>
      <x:c r="H38" s="33" t="str">
        <x:v>JSON：问题、marker、来源文件、Top-K 条件</x:v>
      </x:c>
      <x:c r="I38" s="33" t="str">
        <x:v>RAG 回答含 marker 且引用正确</x:v>
      </x:c>
      <x:c r="J38" s="33" t="str">
        <x:v>不要求模型回答逐字一致</x:v>
      </x:c>
    </x:row>
    <x:row r="39" ht="42" customHeight="1">
      <x:c r="A39" s="34" t="str">
        <x:v>AGT-001</x:v>
      </x:c>
      <x:c r="B39" s="33" t="str">
        <x:v>Agent 资产</x:v>
      </x:c>
      <x:c r="C39" s="33" t="str">
        <x:v>固定 Agent 配置</x:v>
      </x:c>
      <x:c r="D39" s="34" t="str">
        <x:v>必须</x:v>
      </x:c>
      <x:c r="E39" s="36" t="str"/>
      <x:c r="F39" s="34" t="str">
        <x:v>未提供</x:v>
      </x:c>
      <x:c r="G39" s="33" t="str">
        <x:v>assets/agents/</x:v>
      </x:c>
      <x:c r="H39" s="33" t="str">
        <x:v>名称、system prompt、模型、工具、期望 marker</x:v>
      </x:c>
      <x:c r="I39" s="33" t="str">
        <x:v>创建、编辑、发布、对话流程可复现</x:v>
      </x:c>
      <x:c r="J39" s="33" t="str">
        <x:v>资源名称使用 daily 前缀</x:v>
      </x:c>
    </x:row>
    <x:row r="40" ht="42" customHeight="1">
      <x:c r="A40" s="34" t="str">
        <x:v>SKL-001</x:v>
      </x:c>
      <x:c r="B40" s="33" t="str">
        <x:v>Skill 资产</x:v>
      </x:c>
      <x:c r="C40" s="33" t="str">
        <x:v>可导入的测试 Skill 包</x:v>
      </x:c>
      <x:c r="D40" s="34" t="str">
        <x:v>按启用能力</x:v>
      </x:c>
      <x:c r="E40" s="36" t="str"/>
      <x:c r="F40" s="34" t="str">
        <x:v>未提供</x:v>
      </x:c>
      <x:c r="G40" s="33" t="str">
        <x:v>assets/skills/</x:v>
      </x:c>
      <x:c r="H40" s="33" t="str">
        <x:v>最小 Skill + 固定输入输出</x:v>
      </x:c>
      <x:c r="I40" s="33" t="str">
        <x:v>安装、启用、调用和卸载通过</x:v>
      </x:c>
      <x:c r="J40" s="33" t="str">
        <x:v>不要包含生产凭据</x:v>
      </x:c>
    </x:row>
    <x:row r="41" ht="42" customHeight="1">
      <x:c r="A41" s="34" t="str">
        <x:v>EVA-001</x:v>
      </x:c>
      <x:c r="B41" s="33" t="str">
        <x:v>评估资产</x:v>
      </x:c>
      <x:c r="C41" s="33" t="str">
        <x:v>Evaluation 数据集与 Oracle</x:v>
      </x:c>
      <x:c r="D41" s="34" t="str">
        <x:v>按启用能力</x:v>
      </x:c>
      <x:c r="E41" s="36" t="str"/>
      <x:c r="F41" s="34" t="str">
        <x:v>未提供</x:v>
      </x:c>
      <x:c r="G41" s="33" t="str">
        <x:v>assets/evaluation/</x:v>
      </x:c>
      <x:c r="H41" s="33" t="str">
        <x:v>JSON/XLSX；含输入、reference、metadata</x:v>
      </x:c>
      <x:c r="I41" s="33" t="str">
        <x:v>case 数、字段、得分范围和状态正确</x:v>
      </x:c>
      <x:c r="J41" s="33" t="str">
        <x:v>真实 Judge 输出只校验稳定结构</x:v>
      </x:c>
    </x:row>
    <x:row r="42" ht="42" customHeight="1">
      <x:c r="A42" s="34" t="str">
        <x:v>MCP-001</x:v>
      </x:c>
      <x:c r="B42" s="33" t="str">
        <x:v>本地测试服务</x:v>
      </x:c>
      <x:c r="C42" s="33" t="str">
        <x:v>Test MCP 正常响应端点</x:v>
      </x:c>
      <x:c r="D42" s="34" t="str">
        <x:v>必须</x:v>
      </x:c>
      <x:c r="E42" s="36" t="str"/>
      <x:c r="F42" s="34" t="str">
        <x:v>未提供</x:v>
      </x:c>
      <x:c r="G42" s="33" t="str">
        <x:v>services/test-mcp/</x:v>
      </x:c>
      <x:c r="H42" s="33" t="str">
        <x:v>固定工具名、Schema 和 MCP-92831 marker</x:v>
      </x:c>
      <x:c r="I42" s="33" t="str">
        <x:v>真实发现、调用和 wire log 通过</x:v>
      </x:c>
      <x:c r="J42" s="33" t="str">
        <x:v>服务与 Nexent 独立启动</x:v>
      </x:c>
    </x:row>
    <x:row r="43" ht="42" customHeight="1">
      <x:c r="A43" s="34" t="str">
        <x:v>MCP-002</x:v>
      </x:c>
      <x:c r="B43" s="33" t="str">
        <x:v>本地测试服务</x:v>
      </x:c>
      <x:c r="C43" s="33" t="str">
        <x:v>Test MCP 认证/Header 端点</x:v>
      </x:c>
      <x:c r="D43" s="34" t="str">
        <x:v>按启用能力</x:v>
      </x:c>
      <x:c r="E43" s="36" t="str"/>
      <x:c r="F43" s="34" t="str">
        <x:v>未提供</x:v>
      </x:c>
      <x:c r="G43" s="33" t="str">
        <x:v>services/test-mcp/</x:v>
      </x:c>
      <x:c r="H43" s="33" t="str">
        <x:v>Bearer/custom header；只引用环境变量</x:v>
      </x:c>
      <x:c r="I43" s="33" t="str">
        <x:v>Header 实际到达且日志脱敏</x:v>
      </x:c>
      <x:c r="J43" s="33" t="str">
        <x:v>凭据放 secrets.env</x:v>
      </x:c>
    </x:row>
    <x:row r="44" ht="42" customHeight="1">
      <x:c r="A44" s="34" t="str">
        <x:v>MCP-003</x:v>
      </x:c>
      <x:c r="B44" s="33" t="str">
        <x:v>本地测试服务</x:v>
      </x:c>
      <x:c r="C44" s="33" t="str">
        <x:v>Test MCP timeout/500/断连端点</x:v>
      </x:c>
      <x:c r="D44" s="34" t="str">
        <x:v>按启用能力</x:v>
      </x:c>
      <x:c r="E44" s="36" t="str"/>
      <x:c r="F44" s="34" t="str">
        <x:v>未提供</x:v>
      </x:c>
      <x:c r="G44" s="33" t="str">
        <x:v>services/test-mcp/</x:v>
      </x:c>
      <x:c r="H44" s="33" t="str">
        <x:v>可控 timeout、500、stream 中断</x:v>
      </x:c>
      <x:c r="I44" s="33" t="str">
        <x:v>错误分类、重试和恢复符合预期</x:v>
      </x:c>
      <x:c r="J44" s="33" t="str">
        <x:v>只用于本地故障注入</x:v>
      </x:c>
    </x:row>
    <x:row r="45" ht="42" customHeight="1">
      <x:c r="A45" s="34" t="str">
        <x:v>POL-001</x:v>
      </x:c>
      <x:c r="B45" s="33" t="str">
        <x:v>当前排除</x:v>
      </x:c>
      <x:c r="C45" s="33" t="str">
        <x:v>OAuth/CAS 测试 Provider</x:v>
      </x:c>
      <x:c r="D45" s="34" t="str">
        <x:v>当前排除</x:v>
      </x:c>
      <x:c r="E45" s="36" t="str">
        <x:v>无需提供</x:v>
      </x:c>
      <x:c r="F45" s="34" t="str">
        <x:v>不适用</x:v>
      </x:c>
      <x:c r="G45" s="33" t="str">
        <x:v>services/test-auth/</x:v>
      </x:c>
      <x:c r="H45" s="33" t="str">
        <x:v>当前策略关闭</x:v>
      </x:c>
      <x:c r="I45" s="33" t="str">
        <x:v>对应 Journey 保持 SKIPPED_BY_POLICY</x:v>
      </x:c>
      <x:c r="J45" s="33" t="str">
        <x:v>未来启用时再准备</x:v>
      </x:c>
    </x:row>
    <x:row r="46" ht="42" customHeight="1">
      <x:c r="A46" s="34" t="str">
        <x:v>POL-002</x:v>
      </x:c>
      <x:c r="B46" s="33" t="str">
        <x:v>当前排除</x:v>
      </x:c>
      <x:c r="C46" s="33" t="str">
        <x:v>外部 A2A Agent 与 Nacos</x:v>
      </x:c>
      <x:c r="D46" s="34" t="str">
        <x:v>当前排除</x:v>
      </x:c>
      <x:c r="E46" s="36" t="str">
        <x:v>无需提供</x:v>
      </x:c>
      <x:c r="F46" s="34" t="str">
        <x:v>不适用</x:v>
      </x:c>
      <x:c r="G46" s="33" t="str">
        <x:v>services/test-a2a/</x:v>
      </x:c>
      <x:c r="H46" s="33" t="str">
        <x:v>当前策略关闭</x:v>
      </x:c>
      <x:c r="I46" s="33" t="str">
        <x:v>对应 Journey 保持 SKIPPED_BY_POLICY</x:v>
      </x:c>
      <x:c r="J46" s="33" t="str">
        <x:v>未来启用时再准备</x:v>
      </x:c>
    </x:row>
    <x:row r="47" ht="42" customHeight="1">
      <x:c r="A47" s="34" t="str">
        <x:v>SEC-001</x:v>
      </x:c>
      <x:c r="B47" s="33" t="str">
        <x:v>本地安全</x:v>
      </x:c>
      <x:c r="C47" s="33" t="str">
        <x:v>secrets.env 权限确认</x:v>
      </x:c>
      <x:c r="D47" s="34" t="str">
        <x:v>必须</x:v>
      </x:c>
      <x:c r="E47" s="36" t="str"/>
      <x:c r="F47" s="34" t="str">
        <x:v>未提供</x:v>
      </x:c>
      <x:c r="G47" s="33" t="str">
        <x:v>config/secrets.env</x:v>
      </x:c>
      <x:c r="H47" s="33" t="str">
        <x:v>Linux mode 0600</x:v>
      </x:c>
      <x:c r="I47" s="33" t="str">
        <x:v>doctor.sh 权限检查通过</x:v>
      </x:c>
      <x:c r="J47" s="33" t="str">
        <x:v>只填写“已设置 0600”</x:v>
      </x:c>
    </x:row>
    <x:row r="48" ht="42" customHeight="1">
      <x:c r="A48" s="34" t="str">
        <x:v>MAN-001</x:v>
      </x:c>
      <x:c r="B48" s="33" t="str">
        <x:v>资产清单</x:v>
      </x:c>
      <x:c r="C48" s="33" t="str">
        <x:v>资产文件 SHA256 清单</x:v>
      </x:c>
      <x:c r="D48" s="34" t="str">
        <x:v>必须</x:v>
      </x:c>
      <x:c r="E48" s="36" t="str"/>
      <x:c r="F48" s="34" t="str">
        <x:v>未提供</x:v>
      </x:c>
      <x:c r="G48" s="33" t="str">
        <x:v>assets/manifest.json</x:v>
      </x:c>
      <x:c r="H48" s="33" t="str">
        <x:v>asset_id、相对路径、sha256、required、oracle</x:v>
      </x:c>
      <x:c r="I48" s="33" t="str">
        <x:v>所有 required 文件存在且哈希一致</x:v>
      </x:c>
      <x:c r="J48" s="33" t="str">
        <x:v>文件到位后可由脚本计算哈希</x:v>
      </x:c>
    </x:row>
    <x:row r="49" ht="42" customHeight="1">
      <x:c r="A49" s="34" t="str">
        <x:v>GHA-001</x:v>
      </x:c>
      <x:c r="B49" s="33" t="str">
        <x:v>GitHub Runner</x:v>
      </x:c>
      <x:c r="C49" s="33" t="str">
        <x:v>自托管 Runner 标签确认</x:v>
      </x:c>
      <x:c r="D49" s="34" t="str">
        <x:v>必须</x:v>
      </x:c>
      <x:c r="E49" s="36" t="str"/>
      <x:c r="F49" s="34" t="str">
        <x:v>未提供</x:v>
      </x:c>
      <x:c r="G49" s="33" t="str">
        <x:v>GitHub Runner 配置</x:v>
      </x:c>
      <x:c r="H49" s="33" t="str">
        <x:v>self-hosted, linux, x64, nexent-test</x:v>
      </x:c>
      <x:c r="I49" s="33" t="str">
        <x:v>工作流能选中 Ubuntu 测试机</x:v>
      </x:c>
      <x:c r="J49" s="33" t="str">
        <x:v>无需在 GitHub 配置机器地址</x:v>
      </x:c>
    </x:row>
  </x:sheetData>
  <x:mergeCells>
    <x:mergeCell ref="A1:J1"/>
    <x:mergeCell ref="A2:J2"/>
    <x:mergeCell ref="A6:J6"/>
  </x:mergeCells>
  <x:conditionalFormatting sqref="F8:F49">
    <x:cfRule type="containsText" dxfId="0" priority="1" operator="containsText" text="已提供"/>
    <x:cfRule type="containsText" dxfId="1" priority="2" operator="containsText" text="未提供"/>
    <x:cfRule type="containsText" dxfId="2" priority="3" operator="containsText" text="准备中"/>
    <x:cfRule type="containsText" dxfId="3" priority="4" operator="containsText" text="待确认"/>
    <x:cfRule type="containsText" dxfId="4" priority="5" operator="containsText" text="不适用"/>
  </x:conditionalFormatting>
  <x:dataValidations count="1">
    <x:dataValidation type="list" sqref="F8:F49">
      <x:formula1>"未提供,准备中,已提供,待确认,不适用"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c9e43aab1f47c2"/>
  </x:tableParts>
</x:worksheet>
</file>